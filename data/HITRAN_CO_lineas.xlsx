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recover\Dropbox\Michael_Sanchez_project\"/>
    </mc:Choice>
  </mc:AlternateContent>
  <xr:revisionPtr revIDLastSave="0" documentId="13_ncr:1_{2199E2A6-185C-492E-A906-3D60A74E37AA}" xr6:coauthVersionLast="45" xr6:coauthVersionMax="45" xr10:uidLastSave="{00000000-0000-0000-0000-000000000000}"/>
  <bookViews>
    <workbookView xWindow="10490" yWindow="1090" windowWidth="10910" windowHeight="17910" xr2:uid="{00000000-000D-0000-FFFF-FFFF00000000}"/>
  </bookViews>
  <sheets>
    <sheet name="COlineranges" sheetId="1" r:id="rId1"/>
    <sheet name="Disk Profile" sheetId="2" r:id="rId2"/>
    <sheet name="CO 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J2" i="2"/>
  <c r="I2" i="2"/>
  <c r="K2" i="2"/>
  <c r="L2" i="2"/>
  <c r="M2" i="2"/>
  <c r="N2" i="2"/>
  <c r="O2" i="2"/>
  <c r="P2" i="2"/>
  <c r="D2" i="2"/>
  <c r="C2" i="2"/>
  <c r="C20" i="2" s="1"/>
  <c r="B2" i="2" l="1"/>
  <c r="B9" i="2" l="1"/>
  <c r="B7" i="2"/>
  <c r="B8" i="2"/>
  <c r="B6" i="2"/>
  <c r="B10" i="2"/>
</calcChain>
</file>

<file path=xl/sharedStrings.xml><?xml version="1.0" encoding="utf-8"?>
<sst xmlns="http://schemas.openxmlformats.org/spreadsheetml/2006/main" count="630" uniqueCount="97">
  <si>
    <t>v1-0</t>
  </si>
  <si>
    <t>R1</t>
  </si>
  <si>
    <t>R0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</si>
  <si>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</si>
  <si>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</si>
  <si>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</si>
  <si>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</si>
  <si>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</si>
  <si>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</si>
  <si>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</si>
  <si>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</si>
  <si>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</si>
  <si>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</si>
  <si>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</si>
  <si>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</si>
  <si>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</si>
  <si>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</si>
  <si>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</si>
  <si>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</si>
  <si>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</si>
  <si>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</si>
  <si>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</si>
  <si>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</si>
  <si>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</si>
  <si>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</si>
  <si>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</si>
  <si>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</si>
  <si>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</si>
  <si>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</si>
  <si>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</si>
  <si>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</si>
  <si>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</si>
  <si>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</si>
  <si>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</si>
  <si>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</si>
  <si>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</si>
  <si>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</si>
  <si>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</si>
  <si>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</si>
  <si>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</si>
  <si>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</si>
  <si>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</si>
  <si>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</si>
  <si>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</si>
  <si>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</si>
  <si>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v2-1</t>
  </si>
  <si>
    <t>R8</t>
  </si>
  <si>
    <t>R7</t>
  </si>
  <si>
    <t>R6</t>
  </si>
  <si>
    <t>R5</t>
  </si>
  <si>
    <t>R4</t>
  </si>
  <si>
    <t>R3</t>
  </si>
  <si>
    <t>R2</t>
  </si>
  <si>
    <t>v3-2</t>
  </si>
  <si>
    <t>R16</t>
  </si>
  <si>
    <t>R15</t>
  </si>
  <si>
    <t>R14</t>
  </si>
  <si>
    <t>R13</t>
  </si>
  <si>
    <t>R12</t>
  </si>
  <si>
    <t>R11</t>
  </si>
  <si>
    <t>R10</t>
  </si>
  <si>
    <t>R9</t>
  </si>
  <si>
    <t>13CO</t>
  </si>
  <si>
    <t>P</t>
  </si>
  <si>
    <t>wl</t>
  </si>
  <si>
    <t>vib</t>
  </si>
  <si>
    <t>line</t>
  </si>
  <si>
    <t>branch</t>
  </si>
  <si>
    <t>R</t>
  </si>
  <si>
    <t>continuum</t>
  </si>
  <si>
    <t>RULup_M_APR07</t>
  </si>
  <si>
    <t>AATau_M</t>
  </si>
  <si>
    <t>DFTAU_M</t>
  </si>
  <si>
    <t>DoAr44_M_SEP07</t>
  </si>
  <si>
    <t>DRTau_M_DEC08</t>
  </si>
  <si>
    <t>EXLup14_M</t>
  </si>
  <si>
    <t>HD135344B_M_APR07</t>
  </si>
  <si>
    <t>HD142527_M_5AUG08</t>
  </si>
  <si>
    <t>HD144432S_M</t>
  </si>
  <si>
    <t>TWHya_M</t>
  </si>
  <si>
    <t>CVCha_M</t>
  </si>
  <si>
    <t>RYLup_M_APR07</t>
  </si>
  <si>
    <t>HD36112_ISHELL</t>
  </si>
  <si>
    <t>TWCha_M_JAN09</t>
  </si>
  <si>
    <t>HD139614_Carmona</t>
  </si>
  <si>
    <t>xxxx</t>
  </si>
  <si>
    <t>window inwards</t>
  </si>
  <si>
    <t>c0de</t>
  </si>
  <si>
    <t>0 - Manual N/A Line Filter</t>
  </si>
  <si>
    <t>1 - Code N/A Line Filter</t>
  </si>
  <si>
    <t>oooo</t>
  </si>
  <si>
    <t>oooo - counted in code</t>
  </si>
  <si>
    <t>P43</t>
  </si>
  <si>
    <t>P44</t>
  </si>
  <si>
    <t>P45</t>
  </si>
  <si>
    <t>P46</t>
  </si>
  <si>
    <t>P47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</si>
</sst>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NumberFormat="1" applyFont="1" applyFill="1"/>
    <xf numFmtId="0" fontId="0" fillId="0" borderId="0" xfId="0" applyNumberFormat="1"/>
    <xf numFmtId="0" fontId="0" fillId="0" borderId="0" xfId="0" applyAlignment="1">
      <alignment horizontal="center"/>
    </xf>
    <xf numFmtId="0" fontId="14" fillId="0" borderId="0" xfId="0" applyNumberFormat="1" applyFont="1"/>
    <xf numFmtId="0" fontId="19" fillId="0" borderId="0" xfId="0" applyNumberFormat="1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topLeftCell="A10" workbookViewId="0">
      <selection activeCell="D42" sqref="D42"/>
    </sheetView>
  </sheetViews>
  <sheetFormatPr defaultColWidth="10.6640625" defaultRowHeight="15.5" x14ac:dyDescent="0.35"/>
  <sheetData>
    <row r="1" spans="1:4" x14ac:dyDescent="0.35">
      <c r="A1" t="s">
        <v>65</v>
      </c>
      <c r="B1" t="s">
        <v>66</v>
      </c>
      <c r="C1" t="s">
        <v>64</v>
      </c>
      <c r="D1" t="s">
        <v>67</v>
      </c>
    </row>
    <row r="2" spans="1:4" x14ac:dyDescent="0.35">
      <c r="A2" t="s">
        <v>0</v>
      </c>
      <c r="B2" t="s">
        <v>1</v>
      </c>
      <c r="C2">
        <v>4.6493120000000001</v>
      </c>
      <c r="D2" t="s">
        <v>68</v>
      </c>
    </row>
    <row r="3" spans="1:4" x14ac:dyDescent="0.35">
      <c r="A3" t="s">
        <v>0</v>
      </c>
      <c r="B3" t="s">
        <v>2</v>
      </c>
      <c r="C3">
        <v>4.6574859999999996</v>
      </c>
      <c r="D3" t="s">
        <v>68</v>
      </c>
    </row>
    <row r="4" spans="1:4" x14ac:dyDescent="0.35">
      <c r="A4" t="s">
        <v>0</v>
      </c>
      <c r="B4" t="s">
        <v>3</v>
      </c>
      <c r="C4">
        <v>4.6741510000000002</v>
      </c>
      <c r="D4" t="s">
        <v>63</v>
      </c>
    </row>
    <row r="5" spans="1:4" x14ac:dyDescent="0.35">
      <c r="A5" t="s">
        <v>0</v>
      </c>
      <c r="B5" t="s">
        <v>4</v>
      </c>
      <c r="C5">
        <v>4.6826429999999997</v>
      </c>
      <c r="D5" t="s">
        <v>63</v>
      </c>
    </row>
    <row r="6" spans="1:4" x14ac:dyDescent="0.35">
      <c r="A6" t="s">
        <v>0</v>
      </c>
      <c r="B6" t="s">
        <v>5</v>
      </c>
      <c r="C6">
        <v>4.6912419999999999</v>
      </c>
      <c r="D6" t="s">
        <v>63</v>
      </c>
    </row>
    <row r="7" spans="1:4" x14ac:dyDescent="0.35">
      <c r="A7" t="s">
        <v>0</v>
      </c>
      <c r="B7" t="s">
        <v>6</v>
      </c>
      <c r="C7">
        <v>4.6999500000000003</v>
      </c>
      <c r="D7" t="s">
        <v>63</v>
      </c>
    </row>
    <row r="8" spans="1:4" x14ac:dyDescent="0.35">
      <c r="A8" t="s">
        <v>0</v>
      </c>
      <c r="B8" t="s">
        <v>7</v>
      </c>
      <c r="C8">
        <v>4.7087659999999998</v>
      </c>
      <c r="D8" t="s">
        <v>63</v>
      </c>
    </row>
    <row r="9" spans="1:4" x14ac:dyDescent="0.35">
      <c r="A9" t="s">
        <v>0</v>
      </c>
      <c r="B9" t="s">
        <v>8</v>
      </c>
      <c r="C9">
        <v>4.7176910000000003</v>
      </c>
      <c r="D9" t="s">
        <v>63</v>
      </c>
    </row>
    <row r="10" spans="1:4" x14ac:dyDescent="0.35">
      <c r="A10" t="s">
        <v>0</v>
      </c>
      <c r="B10" t="s">
        <v>9</v>
      </c>
      <c r="C10">
        <v>4.7267270000000003</v>
      </c>
      <c r="D10" t="s">
        <v>63</v>
      </c>
    </row>
    <row r="11" spans="1:4" x14ac:dyDescent="0.35">
      <c r="A11" t="s">
        <v>0</v>
      </c>
      <c r="B11" t="s">
        <v>10</v>
      </c>
      <c r="C11">
        <v>4.7358729999999998</v>
      </c>
      <c r="D11" t="s">
        <v>63</v>
      </c>
    </row>
    <row r="12" spans="1:4" x14ac:dyDescent="0.35">
      <c r="A12" t="s">
        <v>0</v>
      </c>
      <c r="B12" t="s">
        <v>11</v>
      </c>
      <c r="C12">
        <v>4.7451309999999998</v>
      </c>
      <c r="D12" t="s">
        <v>63</v>
      </c>
    </row>
    <row r="13" spans="1:4" x14ac:dyDescent="0.35">
      <c r="A13" t="s">
        <v>0</v>
      </c>
      <c r="B13" t="s">
        <v>12</v>
      </c>
      <c r="C13">
        <v>4.7545019999999996</v>
      </c>
      <c r="D13" t="s">
        <v>63</v>
      </c>
    </row>
    <row r="14" spans="1:4" x14ac:dyDescent="0.35">
      <c r="A14" t="s">
        <v>0</v>
      </c>
      <c r="B14" t="s">
        <v>13</v>
      </c>
      <c r="C14">
        <v>4.7639860000000001</v>
      </c>
      <c r="D14" t="s">
        <v>63</v>
      </c>
    </row>
    <row r="15" spans="1:4" x14ac:dyDescent="0.35">
      <c r="A15" t="s">
        <v>0</v>
      </c>
      <c r="B15" t="s">
        <v>14</v>
      </c>
      <c r="C15">
        <v>4.7735830000000004</v>
      </c>
      <c r="D15" t="s">
        <v>63</v>
      </c>
    </row>
    <row r="16" spans="1:4" x14ac:dyDescent="0.35">
      <c r="A16" t="s">
        <v>0</v>
      </c>
      <c r="B16" t="s">
        <v>15</v>
      </c>
      <c r="C16">
        <v>4.783296</v>
      </c>
      <c r="D16" t="s">
        <v>63</v>
      </c>
    </row>
    <row r="17" spans="1:4" x14ac:dyDescent="0.35">
      <c r="A17" t="s">
        <v>0</v>
      </c>
      <c r="B17" t="s">
        <v>16</v>
      </c>
      <c r="C17">
        <v>4.7931239999999997</v>
      </c>
      <c r="D17" t="s">
        <v>63</v>
      </c>
    </row>
    <row r="18" spans="1:4" x14ac:dyDescent="0.35">
      <c r="A18" t="s">
        <v>0</v>
      </c>
      <c r="B18" t="s">
        <v>17</v>
      </c>
      <c r="C18">
        <v>4.8030689999999998</v>
      </c>
      <c r="D18" t="s">
        <v>63</v>
      </c>
    </row>
    <row r="19" spans="1:4" x14ac:dyDescent="0.35">
      <c r="A19" t="s">
        <v>0</v>
      </c>
      <c r="B19" t="s">
        <v>18</v>
      </c>
      <c r="C19">
        <v>4.8131310000000003</v>
      </c>
      <c r="D19" t="s">
        <v>63</v>
      </c>
    </row>
    <row r="20" spans="1:4" x14ac:dyDescent="0.35">
      <c r="A20" t="s">
        <v>0</v>
      </c>
      <c r="B20" t="s">
        <v>19</v>
      </c>
      <c r="C20">
        <v>4.8233110000000003</v>
      </c>
      <c r="D20" t="s">
        <v>63</v>
      </c>
    </row>
    <row r="21" spans="1:4" x14ac:dyDescent="0.35">
      <c r="A21" t="s">
        <v>0</v>
      </c>
      <c r="B21" t="s">
        <v>20</v>
      </c>
      <c r="C21">
        <v>4.8336100000000002</v>
      </c>
      <c r="D21" t="s">
        <v>63</v>
      </c>
    </row>
    <row r="22" spans="1:4" x14ac:dyDescent="0.35">
      <c r="A22" t="s">
        <v>0</v>
      </c>
      <c r="B22" t="s">
        <v>21</v>
      </c>
      <c r="C22">
        <v>4.8440300000000001</v>
      </c>
      <c r="D22" t="s">
        <v>63</v>
      </c>
    </row>
    <row r="23" spans="1:4" x14ac:dyDescent="0.35">
      <c r="A23" t="s">
        <v>0</v>
      </c>
      <c r="B23" t="s">
        <v>22</v>
      </c>
      <c r="C23">
        <v>4.8545699999999998</v>
      </c>
      <c r="D23" t="s">
        <v>63</v>
      </c>
    </row>
    <row r="24" spans="1:4" x14ac:dyDescent="0.35">
      <c r="A24" t="s">
        <v>0</v>
      </c>
      <c r="B24" t="s">
        <v>23</v>
      </c>
      <c r="C24">
        <v>4.8652319999999998</v>
      </c>
      <c r="D24" t="s">
        <v>63</v>
      </c>
    </row>
    <row r="25" spans="1:4" x14ac:dyDescent="0.35">
      <c r="A25" t="s">
        <v>0</v>
      </c>
      <c r="B25" t="s">
        <v>24</v>
      </c>
      <c r="C25">
        <v>4.876017</v>
      </c>
      <c r="D25" t="s">
        <v>63</v>
      </c>
    </row>
    <row r="26" spans="1:4" x14ac:dyDescent="0.35">
      <c r="A26" t="s">
        <v>0</v>
      </c>
      <c r="B26" t="s">
        <v>25</v>
      </c>
      <c r="C26">
        <v>4.8869259999999999</v>
      </c>
      <c r="D26" t="s">
        <v>63</v>
      </c>
    </row>
    <row r="27" spans="1:4" x14ac:dyDescent="0.35">
      <c r="A27" t="s">
        <v>0</v>
      </c>
      <c r="B27" t="s">
        <v>26</v>
      </c>
      <c r="C27">
        <v>4.8979600000000003</v>
      </c>
      <c r="D27" t="s">
        <v>63</v>
      </c>
    </row>
    <row r="28" spans="1:4" x14ac:dyDescent="0.35">
      <c r="A28" t="s">
        <v>0</v>
      </c>
      <c r="B28" t="s">
        <v>27</v>
      </c>
      <c r="C28">
        <v>4.9091189999999996</v>
      </c>
      <c r="D28" t="s">
        <v>63</v>
      </c>
    </row>
    <row r="29" spans="1:4" x14ac:dyDescent="0.35">
      <c r="A29" t="s">
        <v>0</v>
      </c>
      <c r="B29" t="s">
        <v>28</v>
      </c>
      <c r="C29">
        <v>4.9204059999999998</v>
      </c>
      <c r="D29" t="s">
        <v>63</v>
      </c>
    </row>
    <row r="30" spans="1:4" x14ac:dyDescent="0.35">
      <c r="A30" t="s">
        <v>0</v>
      </c>
      <c r="B30" t="s">
        <v>29</v>
      </c>
      <c r="C30">
        <v>4.9318200000000001</v>
      </c>
      <c r="D30" t="s">
        <v>63</v>
      </c>
    </row>
    <row r="31" spans="1:4" x14ac:dyDescent="0.35">
      <c r="A31" t="s">
        <v>0</v>
      </c>
      <c r="B31" t="s">
        <v>30</v>
      </c>
      <c r="C31">
        <v>4.9433629999999997</v>
      </c>
      <c r="D31" t="s">
        <v>63</v>
      </c>
    </row>
    <row r="32" spans="1:4" x14ac:dyDescent="0.35">
      <c r="A32" t="s">
        <v>0</v>
      </c>
      <c r="B32" t="s">
        <v>31</v>
      </c>
      <c r="C32">
        <v>4.9550359999999998</v>
      </c>
      <c r="D32" t="s">
        <v>63</v>
      </c>
    </row>
    <row r="33" spans="1:4" x14ac:dyDescent="0.35">
      <c r="A33" t="s">
        <v>0</v>
      </c>
      <c r="B33" t="s">
        <v>32</v>
      </c>
      <c r="C33">
        <v>4.9668400000000004</v>
      </c>
      <c r="D33" t="s">
        <v>63</v>
      </c>
    </row>
    <row r="34" spans="1:4" x14ac:dyDescent="0.35">
      <c r="A34" t="s">
        <v>0</v>
      </c>
      <c r="B34" t="s">
        <v>33</v>
      </c>
      <c r="C34">
        <v>4.978777</v>
      </c>
      <c r="D34" t="s">
        <v>63</v>
      </c>
    </row>
    <row r="35" spans="1:4" x14ac:dyDescent="0.35">
      <c r="A35" t="s">
        <v>0</v>
      </c>
      <c r="B35" t="s">
        <v>34</v>
      </c>
      <c r="C35">
        <v>4.9908469999999996</v>
      </c>
      <c r="D35" t="s">
        <v>63</v>
      </c>
    </row>
    <row r="36" spans="1:4" x14ac:dyDescent="0.35">
      <c r="A36" t="s">
        <v>0</v>
      </c>
      <c r="B36" t="s">
        <v>35</v>
      </c>
      <c r="C36">
        <v>5.0030520000000003</v>
      </c>
      <c r="D36" t="s">
        <v>63</v>
      </c>
    </row>
    <row r="37" spans="1:4" x14ac:dyDescent="0.35">
      <c r="A37" t="s">
        <v>0</v>
      </c>
      <c r="B37" t="s">
        <v>36</v>
      </c>
      <c r="C37">
        <v>5.0153920000000003</v>
      </c>
      <c r="D37" t="s">
        <v>63</v>
      </c>
    </row>
    <row r="38" spans="1:4" x14ac:dyDescent="0.35">
      <c r="A38" t="s">
        <v>0</v>
      </c>
      <c r="B38" t="s">
        <v>37</v>
      </c>
      <c r="C38">
        <v>5.0278689999999999</v>
      </c>
      <c r="D38" t="s">
        <v>63</v>
      </c>
    </row>
    <row r="39" spans="1:4" x14ac:dyDescent="0.35">
      <c r="A39" t="s">
        <v>0</v>
      </c>
      <c r="B39" t="s">
        <v>38</v>
      </c>
      <c r="C39">
        <v>5.0404840000000002</v>
      </c>
      <c r="D39" t="s">
        <v>63</v>
      </c>
    </row>
    <row r="40" spans="1:4" x14ac:dyDescent="0.35">
      <c r="A40" t="s">
        <v>0</v>
      </c>
      <c r="B40" t="s">
        <v>39</v>
      </c>
      <c r="C40">
        <v>5.0532389999999996</v>
      </c>
      <c r="D40" t="s">
        <v>63</v>
      </c>
    </row>
    <row r="41" spans="1:4" x14ac:dyDescent="0.35">
      <c r="A41" t="s">
        <v>0</v>
      </c>
      <c r="B41" t="s">
        <v>40</v>
      </c>
      <c r="C41">
        <v>5.0661350000000001</v>
      </c>
      <c r="D41" t="s">
        <v>63</v>
      </c>
    </row>
    <row r="42" spans="1:4" x14ac:dyDescent="0.35">
      <c r="A42" t="s">
        <v>0</v>
      </c>
      <c r="B42" t="s">
        <v>41</v>
      </c>
      <c r="C42">
        <v>5.0791719999999998</v>
      </c>
      <c r="D42" t="s">
        <v>63</v>
      </c>
    </row>
    <row r="43" spans="1:4" x14ac:dyDescent="0.35">
      <c r="A43" t="s">
        <v>0</v>
      </c>
      <c r="B43" t="s">
        <v>42</v>
      </c>
      <c r="C43">
        <v>5.0923530000000001</v>
      </c>
      <c r="D43" t="s">
        <v>63</v>
      </c>
    </row>
    <row r="44" spans="1:4" x14ac:dyDescent="0.35">
      <c r="A44" t="s">
        <v>0</v>
      </c>
      <c r="B44" t="s">
        <v>43</v>
      </c>
      <c r="C44">
        <v>5.1056790000000003</v>
      </c>
      <c r="D44" t="s">
        <v>63</v>
      </c>
    </row>
    <row r="45" spans="1:4" x14ac:dyDescent="0.35">
      <c r="A45" t="s">
        <v>0</v>
      </c>
      <c r="B45" t="s">
        <v>44</v>
      </c>
      <c r="C45">
        <v>5.1191500000000003</v>
      </c>
      <c r="D45" t="s">
        <v>63</v>
      </c>
    </row>
    <row r="46" spans="1:4" x14ac:dyDescent="0.35">
      <c r="A46" t="s">
        <v>0</v>
      </c>
      <c r="B46" t="s">
        <v>92</v>
      </c>
      <c r="C46">
        <v>5.1327689999999997</v>
      </c>
      <c r="D46" t="s">
        <v>63</v>
      </c>
    </row>
    <row r="47" spans="1:4" x14ac:dyDescent="0.35">
      <c r="A47" t="s">
        <v>0</v>
      </c>
      <c r="B47" t="s">
        <v>93</v>
      </c>
      <c r="C47">
        <v>5.1465370000000004</v>
      </c>
      <c r="D47" t="s">
        <v>63</v>
      </c>
    </row>
    <row r="48" spans="1:4" x14ac:dyDescent="0.35">
      <c r="A48" t="s">
        <v>0</v>
      </c>
      <c r="B48" t="s">
        <v>94</v>
      </c>
      <c r="C48">
        <v>5.1604539999999997</v>
      </c>
      <c r="D48" t="s">
        <v>63</v>
      </c>
    </row>
    <row r="49" spans="1:4" x14ac:dyDescent="0.35">
      <c r="A49" t="s">
        <v>0</v>
      </c>
      <c r="B49" t="s">
        <v>95</v>
      </c>
      <c r="C49">
        <v>5.1745239999999999</v>
      </c>
      <c r="D49" t="s">
        <v>63</v>
      </c>
    </row>
    <row r="50" spans="1:4" x14ac:dyDescent="0.35">
      <c r="A50" t="s">
        <v>0</v>
      </c>
      <c r="B50" t="s">
        <v>96</v>
      </c>
      <c r="C50">
        <v>5.1887470000000002</v>
      </c>
      <c r="D50" t="s">
        <v>63</v>
      </c>
    </row>
    <row r="51" spans="1:4" x14ac:dyDescent="0.35">
      <c r="A51" t="s">
        <v>45</v>
      </c>
      <c r="B51" t="s">
        <v>46</v>
      </c>
      <c r="C51">
        <v>4.6522699999999997</v>
      </c>
      <c r="D51" t="s">
        <v>68</v>
      </c>
    </row>
    <row r="52" spans="1:4" x14ac:dyDescent="0.35">
      <c r="A52" t="s">
        <v>45</v>
      </c>
      <c r="B52" t="s">
        <v>47</v>
      </c>
      <c r="C52">
        <v>4.6598350000000002</v>
      </c>
      <c r="D52" t="s">
        <v>68</v>
      </c>
    </row>
    <row r="53" spans="1:4" x14ac:dyDescent="0.35">
      <c r="A53" t="s">
        <v>45</v>
      </c>
      <c r="B53" t="s">
        <v>48</v>
      </c>
      <c r="C53">
        <v>4.6675040000000001</v>
      </c>
      <c r="D53" t="s">
        <v>68</v>
      </c>
    </row>
    <row r="54" spans="1:4" x14ac:dyDescent="0.35">
      <c r="A54" t="s">
        <v>45</v>
      </c>
      <c r="B54" t="s">
        <v>49</v>
      </c>
      <c r="C54">
        <v>4.6752760000000002</v>
      </c>
      <c r="D54" t="s">
        <v>68</v>
      </c>
    </row>
    <row r="55" spans="1:4" x14ac:dyDescent="0.35">
      <c r="A55" t="s">
        <v>45</v>
      </c>
      <c r="B55" t="s">
        <v>50</v>
      </c>
      <c r="C55">
        <v>4.683154</v>
      </c>
      <c r="D55" t="s">
        <v>68</v>
      </c>
    </row>
    <row r="56" spans="1:4" x14ac:dyDescent="0.35">
      <c r="A56" t="s">
        <v>45</v>
      </c>
      <c r="B56" t="s">
        <v>51</v>
      </c>
      <c r="C56">
        <v>4.6911360000000002</v>
      </c>
      <c r="D56" t="s">
        <v>68</v>
      </c>
    </row>
    <row r="57" spans="1:4" x14ac:dyDescent="0.35">
      <c r="A57" t="s">
        <v>45</v>
      </c>
      <c r="B57" t="s">
        <v>52</v>
      </c>
      <c r="C57">
        <v>4.6992250000000002</v>
      </c>
      <c r="D57" t="s">
        <v>68</v>
      </c>
    </row>
    <row r="58" spans="1:4" x14ac:dyDescent="0.35">
      <c r="A58" t="s">
        <v>45</v>
      </c>
      <c r="B58" t="s">
        <v>1</v>
      </c>
      <c r="C58">
        <v>4.7074199999999999</v>
      </c>
      <c r="D58" t="s">
        <v>68</v>
      </c>
    </row>
    <row r="59" spans="1:4" x14ac:dyDescent="0.35">
      <c r="A59" t="s">
        <v>45</v>
      </c>
      <c r="B59" t="s">
        <v>2</v>
      </c>
      <c r="C59">
        <v>4.7157220000000004</v>
      </c>
      <c r="D59" t="s">
        <v>68</v>
      </c>
    </row>
    <row r="60" spans="1:4" x14ac:dyDescent="0.35">
      <c r="A60" t="s">
        <v>45</v>
      </c>
      <c r="B60" t="s">
        <v>3</v>
      </c>
      <c r="C60">
        <v>4.7326499999999996</v>
      </c>
      <c r="D60" t="s">
        <v>63</v>
      </c>
    </row>
    <row r="61" spans="1:4" x14ac:dyDescent="0.35">
      <c r="A61" t="s">
        <v>45</v>
      </c>
      <c r="B61" t="s">
        <v>4</v>
      </c>
      <c r="C61">
        <v>4.7412770000000002</v>
      </c>
      <c r="D61" t="s">
        <v>63</v>
      </c>
    </row>
    <row r="62" spans="1:4" x14ac:dyDescent="0.35">
      <c r="A62" t="s">
        <v>45</v>
      </c>
      <c r="B62" t="s">
        <v>5</v>
      </c>
      <c r="C62">
        <v>4.7500150000000003</v>
      </c>
      <c r="D62" t="s">
        <v>63</v>
      </c>
    </row>
    <row r="63" spans="1:4" x14ac:dyDescent="0.35">
      <c r="A63" t="s">
        <v>45</v>
      </c>
      <c r="B63" t="s">
        <v>6</v>
      </c>
      <c r="C63">
        <v>4.7588629999999998</v>
      </c>
      <c r="D63" t="s">
        <v>63</v>
      </c>
    </row>
    <row r="64" spans="1:4" x14ac:dyDescent="0.35">
      <c r="A64" t="s">
        <v>45</v>
      </c>
      <c r="B64" t="s">
        <v>7</v>
      </c>
      <c r="C64">
        <v>4.7678219999999998</v>
      </c>
      <c r="D64" t="s">
        <v>63</v>
      </c>
    </row>
    <row r="65" spans="1:4" x14ac:dyDescent="0.35">
      <c r="A65" t="s">
        <v>45</v>
      </c>
      <c r="B65" t="s">
        <v>8</v>
      </c>
      <c r="C65">
        <v>4.7768930000000003</v>
      </c>
      <c r="D65" t="s">
        <v>63</v>
      </c>
    </row>
    <row r="66" spans="1:4" x14ac:dyDescent="0.35">
      <c r="A66" t="s">
        <v>45</v>
      </c>
      <c r="B66" t="s">
        <v>9</v>
      </c>
      <c r="C66">
        <v>4.7860769999999997</v>
      </c>
      <c r="D66" t="s">
        <v>63</v>
      </c>
    </row>
    <row r="67" spans="1:4" x14ac:dyDescent="0.35">
      <c r="A67" t="s">
        <v>45</v>
      </c>
      <c r="B67" t="s">
        <v>10</v>
      </c>
      <c r="C67">
        <v>4.7953739999999998</v>
      </c>
      <c r="D67" t="s">
        <v>63</v>
      </c>
    </row>
    <row r="68" spans="1:4" x14ac:dyDescent="0.35">
      <c r="A68" t="s">
        <v>45</v>
      </c>
      <c r="B68" t="s">
        <v>11</v>
      </c>
      <c r="C68">
        <v>4.804786</v>
      </c>
      <c r="D68" t="s">
        <v>63</v>
      </c>
    </row>
    <row r="69" spans="1:4" x14ac:dyDescent="0.35">
      <c r="A69" t="s">
        <v>45</v>
      </c>
      <c r="B69" t="s">
        <v>12</v>
      </c>
      <c r="C69">
        <v>4.8143120000000001</v>
      </c>
      <c r="D69" t="s">
        <v>63</v>
      </c>
    </row>
    <row r="70" spans="1:4" x14ac:dyDescent="0.35">
      <c r="A70" t="s">
        <v>45</v>
      </c>
      <c r="B70" t="s">
        <v>13</v>
      </c>
      <c r="C70">
        <v>4.8239549999999998</v>
      </c>
      <c r="D70" t="s">
        <v>63</v>
      </c>
    </row>
    <row r="71" spans="1:4" x14ac:dyDescent="0.35">
      <c r="A71" t="s">
        <v>45</v>
      </c>
      <c r="B71" t="s">
        <v>14</v>
      </c>
      <c r="C71">
        <v>4.8337139999999996</v>
      </c>
      <c r="D71" t="s">
        <v>63</v>
      </c>
    </row>
    <row r="72" spans="1:4" x14ac:dyDescent="0.35">
      <c r="A72" t="s">
        <v>45</v>
      </c>
      <c r="B72" t="s">
        <v>15</v>
      </c>
      <c r="C72">
        <v>4.843591</v>
      </c>
      <c r="D72" t="s">
        <v>63</v>
      </c>
    </row>
    <row r="73" spans="1:4" x14ac:dyDescent="0.35">
      <c r="A73" t="s">
        <v>45</v>
      </c>
      <c r="B73" t="s">
        <v>16</v>
      </c>
      <c r="C73">
        <v>4.853586</v>
      </c>
      <c r="D73" t="s">
        <v>63</v>
      </c>
    </row>
    <row r="74" spans="1:4" x14ac:dyDescent="0.35">
      <c r="A74" t="s">
        <v>45</v>
      </c>
      <c r="B74" t="s">
        <v>17</v>
      </c>
      <c r="C74">
        <v>4.8637009999999998</v>
      </c>
      <c r="D74" t="s">
        <v>63</v>
      </c>
    </row>
    <row r="75" spans="1:4" x14ac:dyDescent="0.35">
      <c r="A75" t="s">
        <v>45</v>
      </c>
      <c r="B75" t="s">
        <v>18</v>
      </c>
      <c r="C75">
        <v>4.8739350000000004</v>
      </c>
      <c r="D75" t="s">
        <v>63</v>
      </c>
    </row>
    <row r="76" spans="1:4" x14ac:dyDescent="0.35">
      <c r="A76" t="s">
        <v>45</v>
      </c>
      <c r="B76" t="s">
        <v>19</v>
      </c>
      <c r="C76">
        <v>4.8842910000000002</v>
      </c>
      <c r="D76" t="s">
        <v>63</v>
      </c>
    </row>
    <row r="77" spans="1:4" x14ac:dyDescent="0.35">
      <c r="A77" t="s">
        <v>45</v>
      </c>
      <c r="B77" t="s">
        <v>20</v>
      </c>
      <c r="C77">
        <v>4.8947690000000001</v>
      </c>
      <c r="D77" t="s">
        <v>63</v>
      </c>
    </row>
    <row r="78" spans="1:4" x14ac:dyDescent="0.35">
      <c r="A78" t="s">
        <v>45</v>
      </c>
      <c r="B78" t="s">
        <v>21</v>
      </c>
      <c r="C78">
        <v>4.9053699999999996</v>
      </c>
      <c r="D78" t="s">
        <v>63</v>
      </c>
    </row>
    <row r="79" spans="1:4" x14ac:dyDescent="0.35">
      <c r="A79" t="s">
        <v>45</v>
      </c>
      <c r="B79" t="s">
        <v>22</v>
      </c>
      <c r="C79">
        <v>4.9160940000000002</v>
      </c>
      <c r="D79" t="s">
        <v>63</v>
      </c>
    </row>
    <row r="80" spans="1:4" x14ac:dyDescent="0.35">
      <c r="A80" t="s">
        <v>45</v>
      </c>
      <c r="B80" t="s">
        <v>23</v>
      </c>
      <c r="C80">
        <v>4.9269439999999998</v>
      </c>
      <c r="D80" t="s">
        <v>63</v>
      </c>
    </row>
    <row r="81" spans="1:4" x14ac:dyDescent="0.35">
      <c r="A81" t="s">
        <v>45</v>
      </c>
      <c r="B81" t="s">
        <v>24</v>
      </c>
      <c r="C81">
        <v>4.9379189999999999</v>
      </c>
      <c r="D81" t="s">
        <v>63</v>
      </c>
    </row>
    <row r="82" spans="1:4" x14ac:dyDescent="0.35">
      <c r="A82" t="s">
        <v>45</v>
      </c>
      <c r="B82" t="s">
        <v>25</v>
      </c>
      <c r="C82">
        <v>4.9490210000000001</v>
      </c>
      <c r="D82" t="s">
        <v>63</v>
      </c>
    </row>
    <row r="83" spans="1:4" x14ac:dyDescent="0.35">
      <c r="A83" t="s">
        <v>45</v>
      </c>
      <c r="B83" t="s">
        <v>26</v>
      </c>
      <c r="C83">
        <v>4.9602510000000004</v>
      </c>
      <c r="D83" t="s">
        <v>63</v>
      </c>
    </row>
    <row r="84" spans="1:4" x14ac:dyDescent="0.35">
      <c r="A84" t="s">
        <v>45</v>
      </c>
      <c r="B84" t="s">
        <v>27</v>
      </c>
      <c r="C84">
        <v>4.9716089999999999</v>
      </c>
      <c r="D84" t="s">
        <v>63</v>
      </c>
    </row>
    <row r="85" spans="1:4" x14ac:dyDescent="0.35">
      <c r="A85" t="s">
        <v>45</v>
      </c>
      <c r="B85" t="s">
        <v>28</v>
      </c>
      <c r="C85">
        <v>4.983098</v>
      </c>
      <c r="D85" t="s">
        <v>63</v>
      </c>
    </row>
    <row r="86" spans="1:4" x14ac:dyDescent="0.35">
      <c r="A86" t="s">
        <v>45</v>
      </c>
      <c r="B86" t="s">
        <v>29</v>
      </c>
      <c r="C86">
        <v>4.9947179999999998</v>
      </c>
      <c r="D86" t="s">
        <v>63</v>
      </c>
    </row>
    <row r="87" spans="1:4" x14ac:dyDescent="0.35">
      <c r="A87" t="s">
        <v>45</v>
      </c>
      <c r="B87" t="s">
        <v>30</v>
      </c>
      <c r="C87">
        <v>5.0064700000000002</v>
      </c>
      <c r="D87" t="s">
        <v>63</v>
      </c>
    </row>
    <row r="88" spans="1:4" x14ac:dyDescent="0.35">
      <c r="A88" t="s">
        <v>45</v>
      </c>
      <c r="B88" t="s">
        <v>31</v>
      </c>
      <c r="C88">
        <v>5.0183549999999997</v>
      </c>
      <c r="D88" t="s">
        <v>63</v>
      </c>
    </row>
    <row r="89" spans="1:4" x14ac:dyDescent="0.35">
      <c r="A89" t="s">
        <v>45</v>
      </c>
      <c r="B89" t="s">
        <v>32</v>
      </c>
      <c r="C89">
        <v>5.0303750000000003</v>
      </c>
      <c r="D89" t="s">
        <v>63</v>
      </c>
    </row>
    <row r="90" spans="1:4" x14ac:dyDescent="0.35">
      <c r="A90" t="s">
        <v>45</v>
      </c>
      <c r="B90" t="s">
        <v>33</v>
      </c>
      <c r="C90">
        <v>5.0425300000000002</v>
      </c>
      <c r="D90" t="s">
        <v>63</v>
      </c>
    </row>
    <row r="91" spans="1:4" x14ac:dyDescent="0.35">
      <c r="A91" t="s">
        <v>45</v>
      </c>
      <c r="B91" t="s">
        <v>34</v>
      </c>
      <c r="C91">
        <v>5.0548219999999997</v>
      </c>
      <c r="D91" t="s">
        <v>63</v>
      </c>
    </row>
    <row r="92" spans="1:4" x14ac:dyDescent="0.35">
      <c r="A92" t="s">
        <v>45</v>
      </c>
      <c r="B92" t="s">
        <v>35</v>
      </c>
      <c r="C92">
        <v>5.0672519999999999</v>
      </c>
      <c r="D92" t="s">
        <v>63</v>
      </c>
    </row>
    <row r="93" spans="1:4" x14ac:dyDescent="0.35">
      <c r="A93" t="s">
        <v>45</v>
      </c>
      <c r="B93" t="s">
        <v>36</v>
      </c>
      <c r="C93">
        <v>5.0798209999999999</v>
      </c>
      <c r="D93" t="s">
        <v>63</v>
      </c>
    </row>
    <row r="94" spans="1:4" x14ac:dyDescent="0.35">
      <c r="A94" t="s">
        <v>45</v>
      </c>
      <c r="B94" t="s">
        <v>37</v>
      </c>
      <c r="C94">
        <v>5.09253</v>
      </c>
      <c r="D94" t="s">
        <v>63</v>
      </c>
    </row>
    <row r="95" spans="1:4" x14ac:dyDescent="0.35">
      <c r="A95" t="s">
        <v>45</v>
      </c>
      <c r="B95" t="s">
        <v>38</v>
      </c>
      <c r="C95">
        <v>5.1053810000000004</v>
      </c>
      <c r="D95" t="s">
        <v>63</v>
      </c>
    </row>
    <row r="96" spans="1:4" x14ac:dyDescent="0.35">
      <c r="A96" t="s">
        <v>45</v>
      </c>
      <c r="B96" t="s">
        <v>39</v>
      </c>
      <c r="C96">
        <v>5.1183750000000003</v>
      </c>
      <c r="D96" t="s">
        <v>63</v>
      </c>
    </row>
    <row r="97" spans="1:4" x14ac:dyDescent="0.35">
      <c r="A97" t="s">
        <v>53</v>
      </c>
      <c r="B97" t="s">
        <v>54</v>
      </c>
      <c r="C97">
        <v>4.6531599999999997</v>
      </c>
      <c r="D97" t="s">
        <v>68</v>
      </c>
    </row>
    <row r="98" spans="1:4" x14ac:dyDescent="0.35">
      <c r="A98" t="s">
        <v>53</v>
      </c>
      <c r="B98" t="s">
        <v>55</v>
      </c>
      <c r="C98">
        <v>4.660012</v>
      </c>
      <c r="D98" t="s">
        <v>68</v>
      </c>
    </row>
    <row r="99" spans="1:4" x14ac:dyDescent="0.35">
      <c r="A99" t="s">
        <v>53</v>
      </c>
      <c r="B99" t="s">
        <v>56</v>
      </c>
      <c r="C99">
        <v>4.6669650000000003</v>
      </c>
      <c r="D99" t="s">
        <v>68</v>
      </c>
    </row>
    <row r="100" spans="1:4" x14ac:dyDescent="0.35">
      <c r="A100" t="s">
        <v>53</v>
      </c>
      <c r="B100" t="s">
        <v>57</v>
      </c>
      <c r="C100">
        <v>4.6740209999999998</v>
      </c>
      <c r="D100" t="s">
        <v>68</v>
      </c>
    </row>
    <row r="101" spans="1:4" x14ac:dyDescent="0.35">
      <c r="A101" t="s">
        <v>53</v>
      </c>
      <c r="B101" t="s">
        <v>58</v>
      </c>
      <c r="C101">
        <v>4.6811800000000003</v>
      </c>
      <c r="D101" t="s">
        <v>68</v>
      </c>
    </row>
    <row r="102" spans="1:4" x14ac:dyDescent="0.35">
      <c r="A102" t="s">
        <v>53</v>
      </c>
      <c r="B102" t="s">
        <v>59</v>
      </c>
      <c r="C102">
        <v>4.6884410000000001</v>
      </c>
      <c r="D102" t="s">
        <v>68</v>
      </c>
    </row>
    <row r="103" spans="1:4" x14ac:dyDescent="0.35">
      <c r="A103" t="s">
        <v>53</v>
      </c>
      <c r="B103" t="s">
        <v>60</v>
      </c>
      <c r="C103">
        <v>4.6958060000000001</v>
      </c>
      <c r="D103" t="s">
        <v>68</v>
      </c>
    </row>
    <row r="104" spans="1:4" x14ac:dyDescent="0.35">
      <c r="A104" t="s">
        <v>53</v>
      </c>
      <c r="B104" t="s">
        <v>61</v>
      </c>
      <c r="C104">
        <v>4.7032749999999997</v>
      </c>
      <c r="D104" t="s">
        <v>68</v>
      </c>
    </row>
    <row r="105" spans="1:4" x14ac:dyDescent="0.35">
      <c r="A105" t="s">
        <v>53</v>
      </c>
      <c r="B105" t="s">
        <v>46</v>
      </c>
      <c r="C105">
        <v>4.7108489999999996</v>
      </c>
      <c r="D105" t="s">
        <v>68</v>
      </c>
    </row>
    <row r="106" spans="1:4" x14ac:dyDescent="0.35">
      <c r="A106" t="s">
        <v>53</v>
      </c>
      <c r="B106" t="s">
        <v>47</v>
      </c>
      <c r="C106">
        <v>4.7185290000000002</v>
      </c>
      <c r="D106" t="s">
        <v>68</v>
      </c>
    </row>
    <row r="107" spans="1:4" x14ac:dyDescent="0.35">
      <c r="A107" t="s">
        <v>53</v>
      </c>
      <c r="B107" t="s">
        <v>48</v>
      </c>
      <c r="C107">
        <v>4.7263140000000003</v>
      </c>
      <c r="D107" t="s">
        <v>68</v>
      </c>
    </row>
    <row r="108" spans="1:4" x14ac:dyDescent="0.35">
      <c r="A108" t="s">
        <v>53</v>
      </c>
      <c r="B108" t="s">
        <v>49</v>
      </c>
      <c r="C108">
        <v>4.7342050000000002</v>
      </c>
      <c r="D108" t="s">
        <v>68</v>
      </c>
    </row>
    <row r="109" spans="1:4" x14ac:dyDescent="0.35">
      <c r="A109" t="s">
        <v>53</v>
      </c>
      <c r="B109" t="s">
        <v>50</v>
      </c>
      <c r="C109">
        <v>4.7422040000000001</v>
      </c>
      <c r="D109" t="s">
        <v>68</v>
      </c>
    </row>
    <row r="110" spans="1:4" x14ac:dyDescent="0.35">
      <c r="A110" t="s">
        <v>53</v>
      </c>
      <c r="B110" t="s">
        <v>51</v>
      </c>
      <c r="C110">
        <v>4.750311</v>
      </c>
      <c r="D110" t="s">
        <v>68</v>
      </c>
    </row>
    <row r="111" spans="1:4" x14ac:dyDescent="0.35">
      <c r="A111" t="s">
        <v>53</v>
      </c>
      <c r="B111" t="s">
        <v>52</v>
      </c>
      <c r="C111">
        <v>4.7585249999999997</v>
      </c>
      <c r="D111" t="s">
        <v>68</v>
      </c>
    </row>
    <row r="112" spans="1:4" x14ac:dyDescent="0.35">
      <c r="A112" t="s">
        <v>53</v>
      </c>
      <c r="B112" t="s">
        <v>1</v>
      </c>
      <c r="C112">
        <v>4.7668489999999997</v>
      </c>
      <c r="D112" t="s">
        <v>68</v>
      </c>
    </row>
    <row r="113" spans="1:4" x14ac:dyDescent="0.35">
      <c r="A113" t="s">
        <v>53</v>
      </c>
      <c r="B113" t="s">
        <v>2</v>
      </c>
      <c r="C113">
        <v>4.7752829999999999</v>
      </c>
      <c r="D113" t="s">
        <v>68</v>
      </c>
    </row>
    <row r="114" spans="1:4" x14ac:dyDescent="0.35">
      <c r="A114" t="s">
        <v>53</v>
      </c>
      <c r="B114" t="s">
        <v>3</v>
      </c>
      <c r="C114">
        <v>4.7924810000000004</v>
      </c>
      <c r="D114" t="s">
        <v>63</v>
      </c>
    </row>
    <row r="115" spans="1:4" x14ac:dyDescent="0.35">
      <c r="A115" t="s">
        <v>53</v>
      </c>
      <c r="B115" t="s">
        <v>4</v>
      </c>
      <c r="C115">
        <v>4.8012480000000002</v>
      </c>
      <c r="D115" t="s">
        <v>63</v>
      </c>
    </row>
    <row r="116" spans="1:4" x14ac:dyDescent="0.35">
      <c r="A116" t="s">
        <v>53</v>
      </c>
      <c r="B116" t="s">
        <v>5</v>
      </c>
      <c r="C116">
        <v>4.8101269999999996</v>
      </c>
      <c r="D116" t="s">
        <v>63</v>
      </c>
    </row>
    <row r="117" spans="1:4" x14ac:dyDescent="0.35">
      <c r="A117" t="s">
        <v>53</v>
      </c>
      <c r="B117" t="s">
        <v>6</v>
      </c>
      <c r="C117">
        <v>4.8191179999999996</v>
      </c>
      <c r="D117" t="s">
        <v>63</v>
      </c>
    </row>
    <row r="118" spans="1:4" x14ac:dyDescent="0.35">
      <c r="A118" t="s">
        <v>53</v>
      </c>
      <c r="B118" t="s">
        <v>7</v>
      </c>
      <c r="C118">
        <v>4.8282249999999998</v>
      </c>
      <c r="D118" t="s">
        <v>63</v>
      </c>
    </row>
    <row r="119" spans="1:4" x14ac:dyDescent="0.35">
      <c r="A119" t="s">
        <v>53</v>
      </c>
      <c r="B119" t="s">
        <v>8</v>
      </c>
      <c r="C119">
        <v>4.8374449999999998</v>
      </c>
      <c r="D119" t="s">
        <v>63</v>
      </c>
    </row>
    <row r="120" spans="1:4" x14ac:dyDescent="0.35">
      <c r="A120" t="s">
        <v>53</v>
      </c>
      <c r="B120" t="s">
        <v>9</v>
      </c>
      <c r="C120">
        <v>4.846781</v>
      </c>
      <c r="D120" t="s">
        <v>63</v>
      </c>
    </row>
    <row r="121" spans="1:4" x14ac:dyDescent="0.35">
      <c r="A121" t="s">
        <v>53</v>
      </c>
      <c r="B121" t="s">
        <v>10</v>
      </c>
      <c r="C121">
        <v>4.8562339999999997</v>
      </c>
      <c r="D121" t="s">
        <v>63</v>
      </c>
    </row>
    <row r="122" spans="1:4" x14ac:dyDescent="0.35">
      <c r="A122" t="s">
        <v>53</v>
      </c>
      <c r="B122" t="s">
        <v>11</v>
      </c>
      <c r="C122">
        <v>4.8658029999999997</v>
      </c>
      <c r="D122" t="s">
        <v>63</v>
      </c>
    </row>
    <row r="123" spans="1:4" x14ac:dyDescent="0.35">
      <c r="A123" t="s">
        <v>53</v>
      </c>
      <c r="B123" t="s">
        <v>12</v>
      </c>
      <c r="C123">
        <v>4.8754900000000001</v>
      </c>
      <c r="D123" t="s">
        <v>63</v>
      </c>
    </row>
    <row r="124" spans="1:4" x14ac:dyDescent="0.35">
      <c r="A124" t="s">
        <v>53</v>
      </c>
      <c r="B124" t="s">
        <v>13</v>
      </c>
      <c r="C124">
        <v>4.8852960000000003</v>
      </c>
      <c r="D124" t="s">
        <v>63</v>
      </c>
    </row>
    <row r="125" spans="1:4" x14ac:dyDescent="0.35">
      <c r="A125" t="s">
        <v>53</v>
      </c>
      <c r="B125" t="s">
        <v>14</v>
      </c>
      <c r="C125">
        <v>4.8952210000000003</v>
      </c>
      <c r="D125" t="s">
        <v>63</v>
      </c>
    </row>
    <row r="126" spans="1:4" x14ac:dyDescent="0.35">
      <c r="A126" t="s">
        <v>53</v>
      </c>
      <c r="B126" t="s">
        <v>15</v>
      </c>
      <c r="C126">
        <v>4.9052670000000003</v>
      </c>
      <c r="D126" t="s">
        <v>63</v>
      </c>
    </row>
    <row r="127" spans="1:4" x14ac:dyDescent="0.35">
      <c r="A127" t="s">
        <v>53</v>
      </c>
      <c r="B127" t="s">
        <v>16</v>
      </c>
      <c r="C127">
        <v>4.9154340000000003</v>
      </c>
      <c r="D127" t="s">
        <v>63</v>
      </c>
    </row>
    <row r="128" spans="1:4" x14ac:dyDescent="0.35">
      <c r="A128" t="s">
        <v>53</v>
      </c>
      <c r="B128" t="s">
        <v>17</v>
      </c>
      <c r="C128">
        <v>4.9257229999999996</v>
      </c>
      <c r="D128" t="s">
        <v>63</v>
      </c>
    </row>
    <row r="129" spans="1:4" x14ac:dyDescent="0.35">
      <c r="A129" t="s">
        <v>53</v>
      </c>
      <c r="B129" t="s">
        <v>18</v>
      </c>
      <c r="C129">
        <v>4.9361360000000003</v>
      </c>
      <c r="D129" t="s">
        <v>63</v>
      </c>
    </row>
    <row r="130" spans="1:4" x14ac:dyDescent="0.35">
      <c r="A130" t="s">
        <v>53</v>
      </c>
      <c r="B130" t="s">
        <v>19</v>
      </c>
      <c r="C130">
        <v>4.9466720000000004</v>
      </c>
      <c r="D130" t="s">
        <v>63</v>
      </c>
    </row>
    <row r="131" spans="1:4" x14ac:dyDescent="0.35">
      <c r="A131" t="s">
        <v>53</v>
      </c>
      <c r="B131" t="s">
        <v>20</v>
      </c>
      <c r="C131">
        <v>4.9573330000000002</v>
      </c>
      <c r="D131" t="s">
        <v>63</v>
      </c>
    </row>
    <row r="132" spans="1:4" x14ac:dyDescent="0.35">
      <c r="A132" t="s">
        <v>53</v>
      </c>
      <c r="B132" t="s">
        <v>21</v>
      </c>
      <c r="C132">
        <v>4.9681199999999999</v>
      </c>
      <c r="D132" t="s">
        <v>63</v>
      </c>
    </row>
    <row r="133" spans="1:4" x14ac:dyDescent="0.35">
      <c r="A133" t="s">
        <v>53</v>
      </c>
      <c r="B133" t="s">
        <v>22</v>
      </c>
      <c r="C133">
        <v>4.9790349999999997</v>
      </c>
      <c r="D133" t="s">
        <v>63</v>
      </c>
    </row>
    <row r="134" spans="1:4" x14ac:dyDescent="0.35">
      <c r="A134" t="s">
        <v>53</v>
      </c>
      <c r="B134" t="s">
        <v>23</v>
      </c>
      <c r="C134">
        <v>4.9900760000000002</v>
      </c>
      <c r="D134" t="s">
        <v>63</v>
      </c>
    </row>
    <row r="135" spans="1:4" x14ac:dyDescent="0.35">
      <c r="A135" t="s">
        <v>62</v>
      </c>
      <c r="B135" t="s">
        <v>55</v>
      </c>
      <c r="C135">
        <v>4.6504300000000001</v>
      </c>
      <c r="D135" t="s">
        <v>68</v>
      </c>
    </row>
    <row r="136" spans="1:4" x14ac:dyDescent="0.35">
      <c r="A136" t="s">
        <v>62</v>
      </c>
      <c r="B136" t="s">
        <v>56</v>
      </c>
      <c r="C136">
        <v>4.6572199999999997</v>
      </c>
      <c r="D136" t="s">
        <v>68</v>
      </c>
    </row>
    <row r="137" spans="1:4" x14ac:dyDescent="0.35">
      <c r="A137" t="s">
        <v>62</v>
      </c>
      <c r="B137" t="s">
        <v>57</v>
      </c>
      <c r="C137">
        <v>4.66411</v>
      </c>
      <c r="D137" t="s">
        <v>68</v>
      </c>
    </row>
    <row r="138" spans="1:4" x14ac:dyDescent="0.35">
      <c r="A138" t="s">
        <v>62</v>
      </c>
      <c r="B138" t="s">
        <v>58</v>
      </c>
      <c r="C138">
        <v>4.6710900000000004</v>
      </c>
      <c r="D138" t="s">
        <v>68</v>
      </c>
    </row>
    <row r="139" spans="1:4" x14ac:dyDescent="0.35">
      <c r="A139" t="s">
        <v>62</v>
      </c>
      <c r="B139" t="s">
        <v>59</v>
      </c>
      <c r="C139">
        <v>4.6781699999999997</v>
      </c>
      <c r="D139" t="s">
        <v>68</v>
      </c>
    </row>
    <row r="140" spans="1:4" x14ac:dyDescent="0.35">
      <c r="A140" t="s">
        <v>62</v>
      </c>
      <c r="B140" t="s">
        <v>60</v>
      </c>
      <c r="C140">
        <v>4.6853499999999997</v>
      </c>
      <c r="D140" t="s">
        <v>68</v>
      </c>
    </row>
    <row r="141" spans="1:4" x14ac:dyDescent="0.35">
      <c r="A141" t="s">
        <v>62</v>
      </c>
      <c r="B141" t="s">
        <v>61</v>
      </c>
      <c r="C141">
        <v>4.6926199999999998</v>
      </c>
      <c r="D141" t="s">
        <v>68</v>
      </c>
    </row>
    <row r="142" spans="1:4" x14ac:dyDescent="0.35">
      <c r="A142" t="s">
        <v>62</v>
      </c>
      <c r="B142" t="s">
        <v>46</v>
      </c>
      <c r="C142">
        <v>4.7</v>
      </c>
      <c r="D142" t="s">
        <v>68</v>
      </c>
    </row>
    <row r="143" spans="1:4" x14ac:dyDescent="0.35">
      <c r="A143" t="s">
        <v>62</v>
      </c>
      <c r="B143" t="s">
        <v>47</v>
      </c>
      <c r="C143">
        <v>4.7074699999999998</v>
      </c>
      <c r="D143" t="s">
        <v>68</v>
      </c>
    </row>
    <row r="144" spans="1:4" x14ac:dyDescent="0.35">
      <c r="A144" t="s">
        <v>62</v>
      </c>
      <c r="B144" t="s">
        <v>48</v>
      </c>
      <c r="C144">
        <v>4.7150400000000001</v>
      </c>
      <c r="D144" t="s">
        <v>68</v>
      </c>
    </row>
    <row r="145" spans="1:4" x14ac:dyDescent="0.35">
      <c r="A145" t="s">
        <v>62</v>
      </c>
      <c r="B145" t="s">
        <v>49</v>
      </c>
      <c r="C145">
        <v>4.7226999999999997</v>
      </c>
      <c r="D145" t="s">
        <v>68</v>
      </c>
    </row>
    <row r="146" spans="1:4" x14ac:dyDescent="0.35">
      <c r="A146" t="s">
        <v>62</v>
      </c>
      <c r="B146" t="s">
        <v>50</v>
      </c>
      <c r="C146">
        <v>4.7304700000000004</v>
      </c>
      <c r="D146" t="s">
        <v>68</v>
      </c>
    </row>
    <row r="147" spans="1:4" x14ac:dyDescent="0.35">
      <c r="A147" t="s">
        <v>62</v>
      </c>
      <c r="B147" t="s">
        <v>51</v>
      </c>
      <c r="C147">
        <v>4.73834</v>
      </c>
      <c r="D147" t="s">
        <v>68</v>
      </c>
    </row>
    <row r="148" spans="1:4" x14ac:dyDescent="0.35">
      <c r="A148" t="s">
        <v>62</v>
      </c>
      <c r="B148" t="s">
        <v>52</v>
      </c>
      <c r="C148">
        <v>4.7463100000000003</v>
      </c>
      <c r="D148" t="s">
        <v>68</v>
      </c>
    </row>
    <row r="149" spans="1:4" x14ac:dyDescent="0.35">
      <c r="A149" t="s">
        <v>62</v>
      </c>
      <c r="B149" t="s">
        <v>1</v>
      </c>
      <c r="C149">
        <v>4.7543899999999999</v>
      </c>
      <c r="D149" t="s">
        <v>68</v>
      </c>
    </row>
    <row r="150" spans="1:4" x14ac:dyDescent="0.35">
      <c r="A150" t="s">
        <v>62</v>
      </c>
      <c r="B150" t="s">
        <v>2</v>
      </c>
      <c r="C150">
        <v>4.7625599999999997</v>
      </c>
      <c r="D150" t="s">
        <v>68</v>
      </c>
    </row>
    <row r="151" spans="1:4" x14ac:dyDescent="0.35">
      <c r="A151" t="s">
        <v>62</v>
      </c>
      <c r="B151" t="s">
        <v>3</v>
      </c>
      <c r="C151">
        <v>4.7792199999999996</v>
      </c>
      <c r="D151" t="s">
        <v>63</v>
      </c>
    </row>
    <row r="152" spans="1:4" x14ac:dyDescent="0.35">
      <c r="A152" t="s">
        <v>62</v>
      </c>
      <c r="B152" t="s">
        <v>4</v>
      </c>
      <c r="C152">
        <v>4.7877099999999997</v>
      </c>
      <c r="D152" t="s">
        <v>63</v>
      </c>
    </row>
    <row r="153" spans="1:4" x14ac:dyDescent="0.35">
      <c r="A153" t="s">
        <v>62</v>
      </c>
      <c r="B153" t="s">
        <v>5</v>
      </c>
      <c r="C153">
        <v>4.7962999999999996</v>
      </c>
      <c r="D153" t="s">
        <v>63</v>
      </c>
    </row>
    <row r="154" spans="1:4" x14ac:dyDescent="0.35">
      <c r="A154" t="s">
        <v>62</v>
      </c>
      <c r="B154" t="s">
        <v>6</v>
      </c>
      <c r="C154">
        <v>4.8049900000000001</v>
      </c>
      <c r="D154" t="s">
        <v>63</v>
      </c>
    </row>
    <row r="155" spans="1:4" x14ac:dyDescent="0.35">
      <c r="A155" t="s">
        <v>62</v>
      </c>
      <c r="B155" t="s">
        <v>7</v>
      </c>
      <c r="C155">
        <v>4.8137999999999996</v>
      </c>
      <c r="D155" t="s">
        <v>63</v>
      </c>
    </row>
    <row r="156" spans="1:4" x14ac:dyDescent="0.35">
      <c r="A156" t="s">
        <v>62</v>
      </c>
      <c r="B156" t="s">
        <v>8</v>
      </c>
      <c r="C156">
        <v>4.8227000000000002</v>
      </c>
      <c r="D156" t="s">
        <v>63</v>
      </c>
    </row>
    <row r="157" spans="1:4" x14ac:dyDescent="0.35">
      <c r="A157" t="s">
        <v>62</v>
      </c>
      <c r="B157" t="s">
        <v>9</v>
      </c>
      <c r="C157">
        <v>4.8317199999999998</v>
      </c>
      <c r="D157" t="s">
        <v>63</v>
      </c>
    </row>
    <row r="158" spans="1:4" x14ac:dyDescent="0.35">
      <c r="A158" t="s">
        <v>62</v>
      </c>
      <c r="B158" t="s">
        <v>10</v>
      </c>
      <c r="C158">
        <v>4.8408499999999997</v>
      </c>
      <c r="D158" t="s">
        <v>63</v>
      </c>
    </row>
    <row r="159" spans="1:4" x14ac:dyDescent="0.35">
      <c r="A159" t="s">
        <v>62</v>
      </c>
      <c r="B159" t="s">
        <v>11</v>
      </c>
      <c r="C159">
        <v>4.8500800000000002</v>
      </c>
      <c r="D159" t="s">
        <v>63</v>
      </c>
    </row>
    <row r="160" spans="1:4" x14ac:dyDescent="0.35">
      <c r="A160" t="s">
        <v>62</v>
      </c>
      <c r="B160" t="s">
        <v>12</v>
      </c>
      <c r="C160">
        <v>4.8594200000000001</v>
      </c>
      <c r="D160" t="s">
        <v>63</v>
      </c>
    </row>
    <row r="161" spans="1:4" x14ac:dyDescent="0.35">
      <c r="A161" t="s">
        <v>62</v>
      </c>
      <c r="B161" t="s">
        <v>13</v>
      </c>
      <c r="C161">
        <v>4.8688799999999999</v>
      </c>
      <c r="D161" t="s">
        <v>63</v>
      </c>
    </row>
    <row r="162" spans="1:4" x14ac:dyDescent="0.35">
      <c r="A162" t="s">
        <v>62</v>
      </c>
      <c r="B162" t="s">
        <v>14</v>
      </c>
      <c r="C162">
        <v>4.8784400000000003</v>
      </c>
      <c r="D162" t="s">
        <v>63</v>
      </c>
    </row>
    <row r="163" spans="1:4" x14ac:dyDescent="0.35">
      <c r="A163" t="s">
        <v>62</v>
      </c>
      <c r="B163" t="s">
        <v>15</v>
      </c>
      <c r="C163">
        <v>4.8881199999999998</v>
      </c>
      <c r="D163" t="s">
        <v>63</v>
      </c>
    </row>
    <row r="164" spans="1:4" x14ac:dyDescent="0.35">
      <c r="A164" t="s">
        <v>62</v>
      </c>
      <c r="B164" t="s">
        <v>16</v>
      </c>
      <c r="C164">
        <v>4.8979100000000004</v>
      </c>
      <c r="D164" t="s">
        <v>63</v>
      </c>
    </row>
    <row r="165" spans="1:4" x14ac:dyDescent="0.35">
      <c r="A165" t="s">
        <v>62</v>
      </c>
      <c r="B165" t="s">
        <v>17</v>
      </c>
      <c r="C165">
        <v>4.9078099999999996</v>
      </c>
      <c r="D165" t="s">
        <v>63</v>
      </c>
    </row>
    <row r="166" spans="1:4" x14ac:dyDescent="0.35">
      <c r="A166" t="s">
        <v>62</v>
      </c>
      <c r="B166" t="s">
        <v>18</v>
      </c>
      <c r="C166">
        <v>4.9178300000000004</v>
      </c>
      <c r="D166" t="s">
        <v>63</v>
      </c>
    </row>
    <row r="167" spans="1:4" x14ac:dyDescent="0.35">
      <c r="A167" t="s">
        <v>62</v>
      </c>
      <c r="B167" t="s">
        <v>19</v>
      </c>
      <c r="C167">
        <v>4.9279599999999997</v>
      </c>
      <c r="D167" t="s">
        <v>63</v>
      </c>
    </row>
    <row r="168" spans="1:4" x14ac:dyDescent="0.35">
      <c r="A168" t="s">
        <v>62</v>
      </c>
      <c r="B168" t="s">
        <v>20</v>
      </c>
      <c r="C168">
        <v>4.9382099999999998</v>
      </c>
      <c r="D168" t="s">
        <v>63</v>
      </c>
    </row>
    <row r="169" spans="1:4" x14ac:dyDescent="0.35">
      <c r="A169" t="s">
        <v>62</v>
      </c>
      <c r="B169" t="s">
        <v>21</v>
      </c>
      <c r="C169">
        <v>4.9485799999999998</v>
      </c>
      <c r="D169" t="s">
        <v>63</v>
      </c>
    </row>
    <row r="170" spans="1:4" x14ac:dyDescent="0.35">
      <c r="A170" t="s">
        <v>62</v>
      </c>
      <c r="B170" t="s">
        <v>22</v>
      </c>
      <c r="C170">
        <v>4.95906</v>
      </c>
      <c r="D170" t="s">
        <v>63</v>
      </c>
    </row>
    <row r="171" spans="1:4" x14ac:dyDescent="0.35">
      <c r="A171" t="s">
        <v>62</v>
      </c>
      <c r="B171" t="s">
        <v>23</v>
      </c>
      <c r="C171">
        <v>4.9696600000000002</v>
      </c>
      <c r="D171" t="s">
        <v>63</v>
      </c>
    </row>
    <row r="172" spans="1:4" x14ac:dyDescent="0.35">
      <c r="A172" t="s">
        <v>62</v>
      </c>
      <c r="B172" t="s">
        <v>24</v>
      </c>
      <c r="C172">
        <v>4.9803899999999999</v>
      </c>
      <c r="D172" t="s">
        <v>63</v>
      </c>
    </row>
    <row r="173" spans="1:4" x14ac:dyDescent="0.35">
      <c r="A173" t="s">
        <v>62</v>
      </c>
      <c r="B173" t="s">
        <v>25</v>
      </c>
      <c r="C173">
        <v>4.9912299999999998</v>
      </c>
      <c r="D173" t="s">
        <v>63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workbookViewId="0">
      <pane xSplit="1" topLeftCell="B1" activePane="topRight" state="frozen"/>
      <selection pane="topRight" activeCell="P41" sqref="P41"/>
    </sheetView>
  </sheetViews>
  <sheetFormatPr defaultColWidth="10.6640625" defaultRowHeight="15.5" x14ac:dyDescent="0.35"/>
  <cols>
    <col min="1" max="1" width="9.6640625" bestFit="1" customWidth="1"/>
    <col min="2" max="2" width="15.1640625" bestFit="1" customWidth="1"/>
    <col min="3" max="4" width="8.83203125" bestFit="1" customWidth="1"/>
    <col min="5" max="5" width="9" bestFit="1" customWidth="1"/>
    <col min="6" max="6" width="15.6640625" bestFit="1" customWidth="1"/>
    <col min="7" max="7" width="15.33203125" bestFit="1" customWidth="1"/>
    <col min="8" max="8" width="10.5" bestFit="1" customWidth="1"/>
    <col min="9" max="9" width="19.5" bestFit="1" customWidth="1"/>
    <col min="10" max="10" width="14.6640625" bestFit="1" customWidth="1"/>
    <col min="11" max="11" width="17.83203125" bestFit="1" customWidth="1"/>
    <col min="12" max="12" width="19.83203125" bestFit="1" customWidth="1"/>
    <col min="13" max="13" width="13" bestFit="1" customWidth="1"/>
    <col min="14" max="14" width="14.83203125" bestFit="1" customWidth="1"/>
    <col min="15" max="15" width="15.6640625" bestFit="1" customWidth="1"/>
    <col min="16" max="16" width="9.33203125" bestFit="1" customWidth="1"/>
  </cols>
  <sheetData>
    <row r="1" spans="1:16" x14ac:dyDescent="0.35">
      <c r="B1" t="s">
        <v>70</v>
      </c>
      <c r="C1" t="s">
        <v>71</v>
      </c>
      <c r="D1" t="s">
        <v>80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82</v>
      </c>
      <c r="K1" t="s">
        <v>84</v>
      </c>
      <c r="L1" t="s">
        <v>77</v>
      </c>
      <c r="M1" t="s">
        <v>78</v>
      </c>
      <c r="N1" t="s">
        <v>81</v>
      </c>
      <c r="O1" t="s">
        <v>83</v>
      </c>
      <c r="P1" t="s">
        <v>79</v>
      </c>
    </row>
    <row r="2" spans="1:16" x14ac:dyDescent="0.35">
      <c r="A2" t="s">
        <v>69</v>
      </c>
      <c r="B2" s="1">
        <f>0.00195 -0.00052</f>
        <v>1.4299999999999998E-3</v>
      </c>
      <c r="C2" s="1">
        <f>0.00195 -0.00052</f>
        <v>1.4299999999999998E-3</v>
      </c>
      <c r="D2" s="1">
        <f>0.00195 -0.00052</f>
        <v>1.4299999999999998E-3</v>
      </c>
      <c r="E2" s="1">
        <f t="shared" ref="E2:P2" si="0">0.00195 -0.00052</f>
        <v>1.4299999999999998E-3</v>
      </c>
      <c r="F2" s="1">
        <f t="shared" si="0"/>
        <v>1.4299999999999998E-3</v>
      </c>
      <c r="G2" s="1">
        <f t="shared" si="0"/>
        <v>1.4299999999999998E-3</v>
      </c>
      <c r="H2" s="1">
        <f t="shared" si="0"/>
        <v>1.4299999999999998E-3</v>
      </c>
      <c r="I2" s="1">
        <f t="shared" si="0"/>
        <v>1.4299999999999998E-3</v>
      </c>
      <c r="J2" s="1">
        <f t="shared" si="0"/>
        <v>1.4299999999999998E-3</v>
      </c>
      <c r="K2" s="1">
        <f t="shared" si="0"/>
        <v>1.4299999999999998E-3</v>
      </c>
      <c r="L2" s="1">
        <f t="shared" si="0"/>
        <v>1.4299999999999998E-3</v>
      </c>
      <c r="M2" s="1">
        <f t="shared" si="0"/>
        <v>1.4299999999999998E-3</v>
      </c>
      <c r="N2" s="1">
        <f t="shared" si="0"/>
        <v>1.4299999999999998E-3</v>
      </c>
      <c r="O2" s="1">
        <f t="shared" si="0"/>
        <v>1.4299999999999998E-3</v>
      </c>
      <c r="P2" s="1">
        <f t="shared" si="0"/>
        <v>1.4299999999999998E-3</v>
      </c>
    </row>
    <row r="3" spans="1:16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t="s">
        <v>3</v>
      </c>
      <c r="B4" s="2" t="s">
        <v>87</v>
      </c>
      <c r="C4" s="2"/>
      <c r="D4" s="2">
        <v>0</v>
      </c>
      <c r="E4" s="2"/>
      <c r="F4" s="2"/>
      <c r="G4" s="2">
        <v>0</v>
      </c>
      <c r="H4" s="2"/>
      <c r="I4" s="2">
        <v>1</v>
      </c>
      <c r="J4" s="2"/>
      <c r="K4" s="2">
        <v>1</v>
      </c>
      <c r="L4" s="2"/>
      <c r="M4" s="2"/>
      <c r="N4" s="2">
        <v>1</v>
      </c>
      <c r="O4" s="2">
        <v>0</v>
      </c>
      <c r="P4" s="2">
        <v>1</v>
      </c>
    </row>
    <row r="5" spans="1:16" x14ac:dyDescent="0.35">
      <c r="A5" t="s">
        <v>4</v>
      </c>
      <c r="B5" s="2"/>
      <c r="C5" s="2"/>
      <c r="D5" s="2"/>
      <c r="E5" s="2"/>
      <c r="F5" s="2"/>
      <c r="G5" s="2"/>
      <c r="H5" s="2">
        <v>1</v>
      </c>
      <c r="I5" s="2"/>
      <c r="J5" s="2"/>
      <c r="K5" s="2">
        <v>1</v>
      </c>
      <c r="L5" s="2"/>
      <c r="M5" s="2"/>
      <c r="N5" s="2"/>
      <c r="O5" s="2">
        <v>0</v>
      </c>
      <c r="P5" s="2"/>
    </row>
    <row r="6" spans="1:16" x14ac:dyDescent="0.35">
      <c r="A6" t="s">
        <v>5</v>
      </c>
      <c r="B6" s="2">
        <f>B2+0.00052</f>
        <v>1.9499999999999999E-3</v>
      </c>
      <c r="C6" s="2"/>
      <c r="D6" s="2"/>
      <c r="E6" s="2"/>
      <c r="F6" s="2"/>
      <c r="G6" s="2"/>
      <c r="H6" s="2">
        <v>1</v>
      </c>
      <c r="I6" s="2"/>
      <c r="J6" s="2"/>
      <c r="K6" s="2">
        <v>1</v>
      </c>
      <c r="L6" s="2"/>
      <c r="M6" s="2"/>
      <c r="N6" s="2"/>
      <c r="O6" s="2">
        <v>0</v>
      </c>
      <c r="P6" s="2">
        <v>1</v>
      </c>
    </row>
    <row r="7" spans="1:16" x14ac:dyDescent="0.35">
      <c r="A7" t="s">
        <v>6</v>
      </c>
      <c r="B7" s="2">
        <f>B2+0.0002</f>
        <v>1.6299999999999999E-3</v>
      </c>
      <c r="C7" s="2"/>
      <c r="D7" s="2">
        <v>0</v>
      </c>
      <c r="E7" s="2"/>
      <c r="F7" s="2"/>
      <c r="G7" s="2">
        <v>0</v>
      </c>
      <c r="H7" s="2"/>
      <c r="I7" s="2"/>
      <c r="J7" s="2"/>
      <c r="K7" s="2">
        <v>1</v>
      </c>
      <c r="L7" s="2"/>
      <c r="M7" s="2"/>
      <c r="N7" s="2"/>
      <c r="O7" s="2">
        <v>0</v>
      </c>
      <c r="P7" s="2"/>
    </row>
    <row r="8" spans="1:16" x14ac:dyDescent="0.35">
      <c r="A8" t="s">
        <v>7</v>
      </c>
      <c r="B8" s="2">
        <f>B2+0.0002</f>
        <v>1.6299999999999999E-3</v>
      </c>
      <c r="C8" s="2"/>
      <c r="D8" s="2"/>
      <c r="E8" s="2"/>
      <c r="F8" s="2"/>
      <c r="G8" s="2"/>
      <c r="H8" s="2"/>
      <c r="I8" s="2"/>
      <c r="J8" s="2"/>
      <c r="K8" s="2">
        <v>1</v>
      </c>
      <c r="L8" s="2"/>
      <c r="M8" s="2"/>
      <c r="N8" s="2"/>
      <c r="O8" s="2">
        <v>0</v>
      </c>
      <c r="P8" s="2"/>
    </row>
    <row r="9" spans="1:16" x14ac:dyDescent="0.35">
      <c r="A9" t="s">
        <v>8</v>
      </c>
      <c r="B9" s="2">
        <f>B2+0.00057</f>
        <v>2E-3</v>
      </c>
      <c r="C9" s="2"/>
      <c r="D9" s="2"/>
      <c r="E9" s="2"/>
      <c r="F9" s="2"/>
      <c r="G9" s="2"/>
      <c r="H9" s="2">
        <v>0</v>
      </c>
      <c r="I9" s="2"/>
      <c r="J9" s="2"/>
      <c r="K9" s="2"/>
      <c r="L9" s="2"/>
      <c r="M9" s="2"/>
      <c r="N9" s="2"/>
      <c r="O9" s="2">
        <v>0</v>
      </c>
      <c r="P9" s="2"/>
    </row>
    <row r="10" spans="1:16" x14ac:dyDescent="0.35">
      <c r="A10" t="s">
        <v>9</v>
      </c>
      <c r="B10" s="2">
        <f>B2+0.001</f>
        <v>2.4299999999999999E-3</v>
      </c>
      <c r="C10" s="2"/>
      <c r="D10" s="2">
        <v>1</v>
      </c>
      <c r="E10" s="2">
        <v>1</v>
      </c>
      <c r="F10" s="2"/>
      <c r="G10" s="2">
        <v>1</v>
      </c>
      <c r="H10" s="2"/>
      <c r="I10" s="2"/>
      <c r="J10" s="2"/>
      <c r="K10" s="2"/>
      <c r="L10" s="2"/>
      <c r="M10" s="2">
        <v>1</v>
      </c>
      <c r="N10" s="2"/>
      <c r="O10" s="2">
        <v>0</v>
      </c>
      <c r="P10" s="2">
        <v>1</v>
      </c>
    </row>
    <row r="11" spans="1:16" x14ac:dyDescent="0.35">
      <c r="A1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>
        <v>1</v>
      </c>
      <c r="L11" s="2"/>
      <c r="M11" s="2"/>
      <c r="N11" s="2"/>
      <c r="O11" s="2"/>
      <c r="P11" s="2"/>
    </row>
    <row r="12" spans="1:16" x14ac:dyDescent="0.35">
      <c r="A12" t="s">
        <v>11</v>
      </c>
      <c r="B12" s="2"/>
      <c r="C12" s="2"/>
      <c r="D12" s="2"/>
      <c r="E12" s="2"/>
      <c r="F12" s="2"/>
      <c r="G12" s="2"/>
      <c r="H12" s="2">
        <v>0</v>
      </c>
      <c r="I12" s="2">
        <v>1</v>
      </c>
      <c r="J12" s="2"/>
      <c r="K12" s="2"/>
      <c r="L12" s="2"/>
      <c r="M12" s="2"/>
      <c r="N12" s="2">
        <v>1</v>
      </c>
      <c r="O12" s="2"/>
      <c r="P12" s="2">
        <v>1</v>
      </c>
    </row>
    <row r="13" spans="1:16" x14ac:dyDescent="0.35">
      <c r="A13" t="s">
        <v>12</v>
      </c>
      <c r="B13" s="2"/>
      <c r="C13" s="2"/>
      <c r="D13" s="2"/>
      <c r="E13" s="2"/>
      <c r="F13" s="2"/>
      <c r="G13" s="2">
        <v>0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t="s">
        <v>13</v>
      </c>
      <c r="B14" s="2"/>
      <c r="C14" s="2"/>
      <c r="D14" s="2"/>
      <c r="E14" s="2"/>
      <c r="F14" s="2"/>
      <c r="G14" s="2">
        <v>0</v>
      </c>
      <c r="H14" s="2"/>
      <c r="I14" s="2"/>
      <c r="J14" s="2"/>
      <c r="K14" s="2" t="s">
        <v>90</v>
      </c>
      <c r="L14" s="2"/>
      <c r="M14" s="2"/>
      <c r="N14" s="2"/>
      <c r="O14" s="2"/>
      <c r="P14" s="2"/>
    </row>
    <row r="15" spans="1:16" x14ac:dyDescent="0.35">
      <c r="A15" t="s">
        <v>14</v>
      </c>
      <c r="B15" s="2"/>
      <c r="C15" s="2">
        <v>0</v>
      </c>
      <c r="D15" s="2"/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/>
      <c r="K15" s="2"/>
      <c r="L15" s="2">
        <v>0</v>
      </c>
      <c r="M15" s="2">
        <v>0</v>
      </c>
      <c r="N15" s="2">
        <v>0</v>
      </c>
      <c r="O15" s="2"/>
      <c r="P15" s="2"/>
    </row>
    <row r="16" spans="1:16" x14ac:dyDescent="0.35">
      <c r="A16" t="s">
        <v>15</v>
      </c>
      <c r="B16" s="2"/>
      <c r="C16" s="2">
        <v>0</v>
      </c>
      <c r="D16" s="2">
        <v>1</v>
      </c>
      <c r="E16" s="2">
        <v>0</v>
      </c>
      <c r="F16" s="2">
        <v>0</v>
      </c>
      <c r="G16" s="2">
        <v>0</v>
      </c>
      <c r="H16">
        <v>0</v>
      </c>
      <c r="I16" s="2">
        <v>0</v>
      </c>
      <c r="J16" s="2"/>
      <c r="K16" s="2"/>
      <c r="L16" s="2">
        <v>0</v>
      </c>
      <c r="M16" s="2">
        <v>0</v>
      </c>
      <c r="N16" s="2"/>
      <c r="O16" s="2">
        <v>0</v>
      </c>
      <c r="P16" s="2">
        <v>0</v>
      </c>
    </row>
    <row r="17" spans="1:16" x14ac:dyDescent="0.35">
      <c r="A17" t="s">
        <v>16</v>
      </c>
      <c r="B17" s="5">
        <v>0</v>
      </c>
      <c r="C17" s="2">
        <v>0</v>
      </c>
      <c r="D17" s="2"/>
      <c r="E17" s="2">
        <v>0</v>
      </c>
      <c r="F17" s="2">
        <v>0</v>
      </c>
      <c r="G17" s="2">
        <v>0</v>
      </c>
      <c r="H17">
        <v>0</v>
      </c>
      <c r="I17" s="2">
        <v>0</v>
      </c>
      <c r="J17" s="2"/>
      <c r="K17" s="2">
        <v>0</v>
      </c>
      <c r="L17" s="2">
        <v>0</v>
      </c>
      <c r="M17" s="2">
        <v>0</v>
      </c>
      <c r="N17" s="2"/>
      <c r="O17" s="2"/>
      <c r="P17" s="2"/>
    </row>
    <row r="18" spans="1:16" x14ac:dyDescent="0.35">
      <c r="A18" t="s">
        <v>17</v>
      </c>
      <c r="B18" s="4"/>
      <c r="C18" s="2">
        <v>0</v>
      </c>
      <c r="D18" s="2"/>
      <c r="E18" s="2">
        <v>0</v>
      </c>
      <c r="F18" s="2">
        <v>0</v>
      </c>
      <c r="G18" s="2">
        <v>0</v>
      </c>
      <c r="H18" s="2"/>
      <c r="I18" s="2">
        <v>0</v>
      </c>
      <c r="J18" s="2"/>
      <c r="K18" s="2" t="s">
        <v>86</v>
      </c>
      <c r="L18" s="2">
        <v>0</v>
      </c>
      <c r="M18" s="2">
        <v>0</v>
      </c>
      <c r="N18" s="2">
        <v>0</v>
      </c>
      <c r="O18" s="2"/>
      <c r="P18" s="2">
        <v>0</v>
      </c>
    </row>
    <row r="19" spans="1:16" x14ac:dyDescent="0.35">
      <c r="A19" t="s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35">
      <c r="A20" t="s">
        <v>19</v>
      </c>
      <c r="B20" s="2">
        <v>0</v>
      </c>
      <c r="C20" s="2">
        <f>C2+0.0008</f>
        <v>2.2299999999999998E-3</v>
      </c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/>
      <c r="K20" s="2">
        <v>0</v>
      </c>
      <c r="L20" s="2"/>
      <c r="M20" s="2">
        <v>0</v>
      </c>
      <c r="N20" s="2"/>
      <c r="O20" s="2">
        <v>1</v>
      </c>
      <c r="P20" s="2">
        <v>0</v>
      </c>
    </row>
    <row r="21" spans="1:16" x14ac:dyDescent="0.35">
      <c r="A21" t="s">
        <v>20</v>
      </c>
      <c r="B21" s="2"/>
      <c r="C21" s="2">
        <v>0</v>
      </c>
      <c r="D21" s="2"/>
      <c r="E21" s="2">
        <v>0</v>
      </c>
      <c r="F21" s="2">
        <v>0</v>
      </c>
      <c r="G21" s="2">
        <v>0</v>
      </c>
      <c r="H21" s="2"/>
      <c r="I21" s="2">
        <v>0</v>
      </c>
      <c r="J21" s="2"/>
      <c r="K21" s="2">
        <v>0</v>
      </c>
      <c r="L21" s="2"/>
      <c r="M21" s="2">
        <v>0</v>
      </c>
      <c r="N21" s="2"/>
      <c r="O21" s="2"/>
      <c r="P21" s="2">
        <v>0</v>
      </c>
    </row>
    <row r="22" spans="1:16" x14ac:dyDescent="0.35">
      <c r="A22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/>
      <c r="M22" s="2">
        <v>0</v>
      </c>
      <c r="N22" s="2">
        <v>0</v>
      </c>
      <c r="O22" s="2">
        <v>0</v>
      </c>
      <c r="P22" s="2">
        <v>0</v>
      </c>
    </row>
    <row r="23" spans="1:16" x14ac:dyDescent="0.35">
      <c r="A23" t="s">
        <v>22</v>
      </c>
      <c r="B23" s="2"/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</row>
    <row r="24" spans="1:16" x14ac:dyDescent="0.35">
      <c r="A24" t="s">
        <v>23</v>
      </c>
      <c r="B24" s="2"/>
      <c r="C24" s="2"/>
      <c r="D24" s="2"/>
      <c r="E24" s="2">
        <v>0</v>
      </c>
      <c r="F24" s="2">
        <v>0</v>
      </c>
      <c r="G24" s="2" t="s">
        <v>85</v>
      </c>
      <c r="H24" s="2"/>
      <c r="I24" s="2"/>
      <c r="J24" s="2"/>
      <c r="K24" s="2">
        <v>0</v>
      </c>
      <c r="L24" s="2"/>
      <c r="M24" s="2">
        <v>0</v>
      </c>
      <c r="N24" s="2"/>
      <c r="O24" s="2"/>
      <c r="P24" s="2">
        <v>0</v>
      </c>
    </row>
    <row r="25" spans="1:16" x14ac:dyDescent="0.35">
      <c r="A25" t="s">
        <v>24</v>
      </c>
      <c r="B25" s="2">
        <v>0</v>
      </c>
      <c r="C25" s="2"/>
      <c r="D25" s="2"/>
      <c r="E25" s="2">
        <v>0</v>
      </c>
      <c r="F25" s="2">
        <v>0</v>
      </c>
      <c r="G25" s="2">
        <v>6.9999999999999999E-4</v>
      </c>
      <c r="H25" s="2"/>
      <c r="I25" s="2"/>
      <c r="J25" s="2"/>
      <c r="K25" s="2">
        <v>0</v>
      </c>
      <c r="L25" s="2">
        <v>1</v>
      </c>
      <c r="M25" s="2">
        <v>0</v>
      </c>
      <c r="N25" s="2">
        <v>0</v>
      </c>
      <c r="O25" s="2"/>
      <c r="P25" s="2">
        <v>0</v>
      </c>
    </row>
    <row r="26" spans="1:16" x14ac:dyDescent="0.35">
      <c r="A26" t="s">
        <v>25</v>
      </c>
      <c r="B26" s="2"/>
      <c r="C26" s="2"/>
      <c r="D26" s="2">
        <v>1</v>
      </c>
      <c r="E26" s="2">
        <v>0</v>
      </c>
      <c r="F26" s="2">
        <v>0</v>
      </c>
      <c r="G26" s="2">
        <v>0</v>
      </c>
      <c r="H26" s="2"/>
      <c r="I26" s="2">
        <v>1</v>
      </c>
      <c r="J26" s="2"/>
      <c r="K26" s="2">
        <v>0</v>
      </c>
      <c r="L26" s="2"/>
      <c r="M26" s="2">
        <v>0</v>
      </c>
      <c r="N26" s="2">
        <v>1</v>
      </c>
      <c r="O26" s="2">
        <v>1</v>
      </c>
      <c r="P26" s="2">
        <v>0</v>
      </c>
    </row>
    <row r="27" spans="1:16" x14ac:dyDescent="0.35">
      <c r="A27" t="s">
        <v>26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35">
      <c r="A28" t="s">
        <v>27</v>
      </c>
      <c r="B28" s="2">
        <v>0</v>
      </c>
      <c r="C28" s="2">
        <v>0</v>
      </c>
      <c r="D28" s="2"/>
      <c r="E28" s="2">
        <v>0</v>
      </c>
      <c r="F28" s="2">
        <v>0</v>
      </c>
      <c r="G28" s="2"/>
      <c r="H28" s="2">
        <v>0</v>
      </c>
      <c r="I28" s="2"/>
      <c r="J28" s="2"/>
      <c r="K28" s="2">
        <v>0</v>
      </c>
      <c r="L28" s="2">
        <v>0</v>
      </c>
      <c r="M28" s="2">
        <v>0</v>
      </c>
      <c r="N28" s="2">
        <v>0</v>
      </c>
      <c r="O28" s="2"/>
      <c r="P28" s="2">
        <v>0</v>
      </c>
    </row>
    <row r="29" spans="1:16" x14ac:dyDescent="0.35">
      <c r="A29" t="s">
        <v>28</v>
      </c>
      <c r="B29" s="2"/>
      <c r="C29" s="2">
        <v>0</v>
      </c>
      <c r="D29" s="2"/>
      <c r="E29" s="2">
        <v>0</v>
      </c>
      <c r="F29" s="2">
        <v>0</v>
      </c>
      <c r="G29" s="2"/>
      <c r="H29" s="2">
        <v>0</v>
      </c>
      <c r="I29" s="2"/>
      <c r="J29" s="2"/>
      <c r="K29" s="2">
        <v>0</v>
      </c>
      <c r="L29" s="2">
        <v>0</v>
      </c>
      <c r="M29" s="2">
        <v>0</v>
      </c>
      <c r="N29" s="2"/>
      <c r="O29" s="2"/>
      <c r="P29" s="2">
        <v>0</v>
      </c>
    </row>
    <row r="30" spans="1:16" x14ac:dyDescent="0.35">
      <c r="A30" t="s">
        <v>29</v>
      </c>
      <c r="B30" s="2"/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/>
      <c r="J30" s="2" t="s">
        <v>85</v>
      </c>
      <c r="K30" s="2">
        <v>0</v>
      </c>
      <c r="L30" s="2">
        <v>0</v>
      </c>
      <c r="M30" s="2">
        <v>0</v>
      </c>
      <c r="N30" s="2"/>
      <c r="O30" s="2">
        <v>0</v>
      </c>
      <c r="P30" s="2">
        <v>0</v>
      </c>
    </row>
    <row r="31" spans="1:16" x14ac:dyDescent="0.35">
      <c r="A31" t="s">
        <v>30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/>
      <c r="H31" s="2">
        <v>0</v>
      </c>
      <c r="I31" s="2">
        <v>1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35">
      <c r="A32" t="s">
        <v>31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/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35">
      <c r="A33" t="s">
        <v>32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/>
      <c r="J33" s="2"/>
      <c r="K33" s="2">
        <v>0</v>
      </c>
      <c r="L33" s="2">
        <v>0</v>
      </c>
      <c r="M33" s="2">
        <v>0</v>
      </c>
      <c r="N33" s="2"/>
      <c r="O33" s="2">
        <v>0</v>
      </c>
      <c r="P33" s="2">
        <v>0</v>
      </c>
    </row>
    <row r="34" spans="1:16" x14ac:dyDescent="0.35">
      <c r="A34" t="s">
        <v>33</v>
      </c>
      <c r="B34" s="2">
        <v>0</v>
      </c>
      <c r="C34" s="2">
        <v>0</v>
      </c>
      <c r="D34" s="2"/>
      <c r="E34" s="2">
        <v>0</v>
      </c>
      <c r="F34" s="2">
        <v>0</v>
      </c>
      <c r="G34" s="2"/>
      <c r="H34" s="2">
        <v>0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/>
      <c r="P34" s="2">
        <v>0</v>
      </c>
    </row>
    <row r="35" spans="1:16" x14ac:dyDescent="0.35">
      <c r="A35" t="s">
        <v>34</v>
      </c>
      <c r="B35" s="2">
        <v>0</v>
      </c>
      <c r="C35" s="2">
        <v>0</v>
      </c>
      <c r="D35" s="2"/>
      <c r="E35" s="2">
        <v>0</v>
      </c>
      <c r="F35" s="2">
        <v>0</v>
      </c>
      <c r="G35" s="2"/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</row>
    <row r="36" spans="1:16" x14ac:dyDescent="0.35">
      <c r="A36" t="s">
        <v>35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35">
      <c r="A37" t="s">
        <v>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35">
      <c r="A38" t="s">
        <v>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90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35">
      <c r="A39" t="s">
        <v>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90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35">
      <c r="A40" t="s">
        <v>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35">
      <c r="A41" t="s">
        <v>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35">
      <c r="A42" t="s">
        <v>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35">
      <c r="A43" t="s">
        <v>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35">
      <c r="A44" t="s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35">
      <c r="A45" t="s">
        <v>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35">
      <c r="E46" s="2"/>
    </row>
    <row r="48" spans="1:16" x14ac:dyDescent="0.35">
      <c r="B48" t="s">
        <v>88</v>
      </c>
    </row>
    <row r="49" spans="2:2" x14ac:dyDescent="0.35">
      <c r="B49" t="s">
        <v>89</v>
      </c>
    </row>
    <row r="50" spans="2:2" x14ac:dyDescent="0.35">
      <c r="B50" t="s">
        <v>91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8E9B-CCF9-4C36-A5E9-315F34580817}">
  <dimension ref="A1:M43"/>
  <sheetViews>
    <sheetView workbookViewId="0">
      <pane ySplit="1" topLeftCell="A2" activePane="bottomLeft" state="frozen"/>
      <selection pane="bottomLeft" sqref="A1:XFD1"/>
    </sheetView>
  </sheetViews>
  <sheetFormatPr defaultRowHeight="15.5" x14ac:dyDescent="0.35"/>
  <cols>
    <col min="1" max="1" width="9.75" bestFit="1" customWidth="1"/>
    <col min="2" max="2" width="15.1640625" bestFit="1" customWidth="1"/>
    <col min="3" max="3" width="19.75" bestFit="1" customWidth="1"/>
    <col min="4" max="4" width="15.1640625" customWidth="1"/>
    <col min="5" max="5" width="8.9140625" bestFit="1" customWidth="1"/>
    <col min="6" max="6" width="8.9140625" customWidth="1"/>
    <col min="7" max="7" width="8.9140625" bestFit="1" customWidth="1"/>
    <col min="8" max="8" width="8.9140625" customWidth="1"/>
    <col min="9" max="9" width="9.08203125" bestFit="1" customWidth="1"/>
    <col min="10" max="10" width="9.08203125" customWidth="1"/>
    <col min="11" max="11" width="15.6640625" bestFit="1" customWidth="1"/>
    <col min="12" max="12" width="15.6640625" customWidth="1"/>
    <col min="13" max="13" width="15.33203125" bestFit="1" customWidth="1"/>
    <col min="14" max="14" width="10.5" bestFit="1" customWidth="1"/>
    <col min="15" max="15" width="15.08203125" bestFit="1" customWidth="1"/>
    <col min="16" max="16" width="19.5" bestFit="1" customWidth="1"/>
    <col min="17" max="17" width="14.6640625" bestFit="1" customWidth="1"/>
    <col min="18" max="18" width="17.9140625" bestFit="1" customWidth="1"/>
    <col min="19" max="19" width="19.83203125" bestFit="1" customWidth="1"/>
    <col min="20" max="20" width="13" bestFit="1" customWidth="1"/>
    <col min="21" max="21" width="14.9140625" bestFit="1" customWidth="1"/>
    <col min="22" max="22" width="15.6640625" bestFit="1" customWidth="1"/>
    <col min="23" max="23" width="9.4140625" bestFit="1" customWidth="1"/>
  </cols>
  <sheetData>
    <row r="1" spans="1:13" x14ac:dyDescent="0.35">
      <c r="B1" s="3"/>
      <c r="C1" s="3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A2" t="s">
        <v>3</v>
      </c>
    </row>
    <row r="3" spans="1:13" x14ac:dyDescent="0.35">
      <c r="A3" t="s">
        <v>4</v>
      </c>
    </row>
    <row r="4" spans="1:13" x14ac:dyDescent="0.35">
      <c r="A4" t="s">
        <v>5</v>
      </c>
    </row>
    <row r="5" spans="1:13" x14ac:dyDescent="0.35">
      <c r="A5" t="s">
        <v>6</v>
      </c>
    </row>
    <row r="6" spans="1:13" x14ac:dyDescent="0.35">
      <c r="A6" t="s">
        <v>7</v>
      </c>
    </row>
    <row r="7" spans="1:13" x14ac:dyDescent="0.35">
      <c r="A7" t="s">
        <v>8</v>
      </c>
    </row>
    <row r="8" spans="1:13" x14ac:dyDescent="0.35">
      <c r="A8" t="s">
        <v>9</v>
      </c>
    </row>
    <row r="9" spans="1:13" x14ac:dyDescent="0.35">
      <c r="A9" t="s">
        <v>10</v>
      </c>
    </row>
    <row r="10" spans="1:13" x14ac:dyDescent="0.35">
      <c r="A10" t="s">
        <v>11</v>
      </c>
    </row>
    <row r="11" spans="1:13" x14ac:dyDescent="0.35">
      <c r="A11" t="s">
        <v>12</v>
      </c>
    </row>
    <row r="12" spans="1:13" x14ac:dyDescent="0.35">
      <c r="A12" t="s">
        <v>13</v>
      </c>
    </row>
    <row r="13" spans="1:13" x14ac:dyDescent="0.35">
      <c r="A13" t="s">
        <v>14</v>
      </c>
    </row>
    <row r="14" spans="1:13" x14ac:dyDescent="0.35">
      <c r="A14" t="s">
        <v>15</v>
      </c>
    </row>
    <row r="15" spans="1:13" x14ac:dyDescent="0.35">
      <c r="A15" t="s">
        <v>16</v>
      </c>
    </row>
    <row r="16" spans="1:13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8" spans="1:1" x14ac:dyDescent="0.35">
      <c r="A28" t="s">
        <v>29</v>
      </c>
    </row>
    <row r="29" spans="1:1" x14ac:dyDescent="0.35">
      <c r="A29" t="s">
        <v>30</v>
      </c>
    </row>
    <row r="30" spans="1:1" x14ac:dyDescent="0.35">
      <c r="A30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3" spans="1:1" x14ac:dyDescent="0.35">
      <c r="A33" t="s">
        <v>34</v>
      </c>
    </row>
    <row r="34" spans="1:1" x14ac:dyDescent="0.35">
      <c r="A34" t="s">
        <v>35</v>
      </c>
    </row>
    <row r="35" spans="1:1" x14ac:dyDescent="0.35">
      <c r="A35" t="s">
        <v>36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0" spans="1:1" x14ac:dyDescent="0.35">
      <c r="A40" t="s">
        <v>41</v>
      </c>
    </row>
    <row r="41" spans="1:1" x14ac:dyDescent="0.35">
      <c r="A41" t="s">
        <v>42</v>
      </c>
    </row>
    <row r="42" spans="1:1" x14ac:dyDescent="0.35">
      <c r="A42" t="s">
        <v>43</v>
      </c>
    </row>
    <row r="43" spans="1:1" x14ac:dyDescent="0.35">
      <c r="A43" t="s">
        <v>44</v>
      </c>
    </row>
  </sheetData>
  <mergeCells count="5">
    <mergeCell ref="D1:E1"/>
    <mergeCell ref="F1:G1"/>
    <mergeCell ref="H1:I1"/>
    <mergeCell ref="J1:K1"/>
    <mergeCell ref="L1:M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COlineranges</vt:lpstr>
      <vt:lpstr>Disk Profile</vt:lpstr>
      <vt:lpstr>CO 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temprecover</cp:lastModifiedBy>
  <dcterms:created xsi:type="dcterms:W3CDTF">2019-12-24T19:15:56Z</dcterms:created>
  <dcterms:modified xsi:type="dcterms:W3CDTF">2020-05-01T04:36:43Z</dcterms:modified>
</cp:coreProperties>
</file>